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 18 locales" sheetId="1" r:id="rId5"/>
  </sheets>
  <definedNames/>
  <calcPr/>
</workbook>
</file>

<file path=xl/sharedStrings.xml><?xml version="1.0" encoding="utf-8"?>
<sst xmlns="http://schemas.openxmlformats.org/spreadsheetml/2006/main" count="37" uniqueCount="37">
  <si>
    <t>RESULTADOS HISTÓRICOS POR LOCAL Y ÁREA</t>
  </si>
  <si>
    <t>Los promedios por área son fórmulas. Devoto no tiene dato histórico en Q3/Q4 y Dardo Rocha conserva la referencia histórica San Isidro.</t>
  </si>
  <si>
    <t>IDENTIFICACIÓN</t>
  </si>
  <si>
    <t>Orden Q1</t>
  </si>
  <si>
    <t>Local</t>
  </si>
  <si>
    <t>Alias histórico</t>
  </si>
  <si>
    <t>Cocina</t>
  </si>
  <si>
    <t>Calidad</t>
  </si>
  <si>
    <t>Salón</t>
  </si>
  <si>
    <t>Promedio áreas</t>
  </si>
  <si>
    <t>Cocina 2</t>
  </si>
  <si>
    <t>Calidad 2</t>
  </si>
  <si>
    <t>Salón 2</t>
  </si>
  <si>
    <t>Promedio áreas 2</t>
  </si>
  <si>
    <t>Cocina 3</t>
  </si>
  <si>
    <t>Calidad 3</t>
  </si>
  <si>
    <t>Salón 3</t>
  </si>
  <si>
    <t>Promedio áreas 3</t>
  </si>
  <si>
    <t>Núñez</t>
  </si>
  <si>
    <t>Devoto</t>
  </si>
  <si>
    <t>Palermo</t>
  </si>
  <si>
    <t>Euskal</t>
  </si>
  <si>
    <t>Las Lomitas</t>
  </si>
  <si>
    <t>Caballito</t>
  </si>
  <si>
    <t>Villa Crespo</t>
  </si>
  <si>
    <t>Colegiales</t>
  </si>
  <si>
    <t>Maschwitz</t>
  </si>
  <si>
    <t>Olivos</t>
  </si>
  <si>
    <t>Dardo Rocha</t>
  </si>
  <si>
    <t>San Isidro</t>
  </si>
  <si>
    <t>Belgrano</t>
  </si>
  <si>
    <t>Nordelta</t>
  </si>
  <si>
    <t>Villa Urquiza</t>
  </si>
  <si>
    <t>Tigre</t>
  </si>
  <si>
    <t>Villa del Parque</t>
  </si>
  <si>
    <t>Las Cañitas</t>
  </si>
  <si>
    <t>Pilar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</si>
</sst>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rgb="FF000000"/>
      <name val="Carlito"/>
      <scheme val="minor"/>
    </font>
    <font>
      <b/>
      <sz val="15.0"/>
      <color rgb="FFFFFFFF"/>
      <name val="Arial"/>
    </font>
    <font>
      <i/>
      <sz val="11.0"/>
      <color rgb="FF555555"/>
      <name val="Arial"/>
    </font>
    <font>
      <sz val="11.0"/>
      <color theme="1"/>
      <name val="Arial"/>
    </font>
    <font>
      <b/>
      <sz val="11.0"/>
      <color rgb="FF5B1821"/>
      <name val="Arial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A1F2B"/>
        <bgColor rgb="FF7A1F2B"/>
      </patternFill>
    </fill>
    <fill>
      <patternFill patternType="solid">
        <fgColor rgb="FFEDE3E5"/>
        <bgColor rgb="FFEDE3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3" fontId="4" numFmtId="0" xfId="0" applyAlignment="1" applyFill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istórico 18 loc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O23" displayName="Table_1" name="Table_1" id="1">
  <tableColumns count="15">
    <tableColumn name="Orden Q1" id="1"/>
    <tableColumn name="Local" id="2"/>
    <tableColumn name="Alias histórico" id="3"/>
    <tableColumn name="Cocina" id="4"/>
    <tableColumn name="Calidad" id="5"/>
    <tableColumn name="Salón" id="6"/>
    <tableColumn name="Promedio áreas" id="7"/>
    <tableColumn name="Cocina 2" id="8"/>
    <tableColumn name="Calidad 2" id="9"/>
    <tableColumn name="Salón 2" id="10"/>
    <tableColumn name="Promedio áreas 2" id="11"/>
    <tableColumn name="Cocina 3" id="12"/>
    <tableColumn name="Calidad 3" id="13"/>
    <tableColumn name="Salón 3" id="14"/>
    <tableColumn name="Promedio áreas 3" id="15"/>
  </tableColumns>
  <tableStyleInfo name="Histórico 18 loc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18.0"/>
    <col customWidth="1" min="4" max="6" width="10.0"/>
    <col customWidth="1" min="7" max="7" width="14.0"/>
    <col customWidth="1" min="8" max="10" width="10.0"/>
    <col customWidth="1" min="11" max="11" width="14.0"/>
    <col customWidth="1" min="12" max="14" width="10.0"/>
    <col customWidth="1" min="15" max="15" width="14.0"/>
    <col customWidth="1" min="16" max="19" width="8.63"/>
  </cols>
  <sheetData>
    <row r="1" ht="27.75" customHeight="1">
      <c r="A1" s="1" t="s">
        <v>0</v>
      </c>
    </row>
    <row r="2" ht="27.75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4" t="s">
        <v>2</v>
      </c>
      <c r="D4" s="4"/>
      <c r="H4" s="4"/>
      <c r="L4" s="4"/>
    </row>
    <row r="5" ht="36.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>
      <c r="A6" s="6">
        <v>1.0</v>
      </c>
      <c r="B6" s="7" t="s">
        <v>18</v>
      </c>
      <c r="C6" s="7"/>
      <c r="D6" s="8">
        <v>92.0</v>
      </c>
      <c r="E6" s="8">
        <v>95.0</v>
      </c>
      <c r="F6" s="8">
        <v>98.0</v>
      </c>
      <c r="G6" s="8">
        <f t="shared" ref="G6:G23" si="1">IF(COUNT(D6:F6)=3,AVERAGE(D6:F6),"")</f>
        <v>95</v>
      </c>
      <c r="H6" s="9">
        <v>95.0</v>
      </c>
      <c r="I6" s="9">
        <v>100.0</v>
      </c>
      <c r="J6" s="9">
        <v>100.0</v>
      </c>
      <c r="K6" s="9">
        <f t="shared" ref="K6:K23" si="2">IF(COUNT(H6:J6)=3,AVERAGE(H6:J6),"")</f>
        <v>98.33333333</v>
      </c>
      <c r="L6" s="8">
        <v>95.0</v>
      </c>
      <c r="M6" s="8">
        <v>96.0</v>
      </c>
      <c r="N6" s="8">
        <v>97.0</v>
      </c>
      <c r="O6" s="8">
        <f t="shared" ref="O6:O23" si="3">IF(COUNT(L6:N6)=3,AVERAGE(L6:N6),"")</f>
        <v>96</v>
      </c>
    </row>
    <row r="7">
      <c r="A7" s="6">
        <v>2.0</v>
      </c>
      <c r="B7" s="7" t="s">
        <v>19</v>
      </c>
      <c r="C7" s="7"/>
      <c r="D7" s="8"/>
      <c r="E7" s="8"/>
      <c r="F7" s="8"/>
      <c r="G7" s="8" t="str">
        <f t="shared" si="1"/>
        <v/>
      </c>
      <c r="H7" s="9"/>
      <c r="I7" s="9"/>
      <c r="J7" s="9"/>
      <c r="K7" s="9" t="str">
        <f t="shared" si="2"/>
        <v/>
      </c>
      <c r="L7" s="8">
        <v>97.0</v>
      </c>
      <c r="M7" s="8">
        <v>92.0</v>
      </c>
      <c r="N7" s="8">
        <v>94.0</v>
      </c>
      <c r="O7" s="8">
        <f t="shared" si="3"/>
        <v>94.33333333</v>
      </c>
    </row>
    <row r="8">
      <c r="A8" s="6">
        <v>3.0</v>
      </c>
      <c r="B8" s="7" t="s">
        <v>20</v>
      </c>
      <c r="C8" s="7"/>
      <c r="D8" s="8">
        <v>82.0</v>
      </c>
      <c r="E8" s="8">
        <v>95.0</v>
      </c>
      <c r="F8" s="8">
        <v>80.0</v>
      </c>
      <c r="G8" s="8">
        <f t="shared" si="1"/>
        <v>85.66666667</v>
      </c>
      <c r="H8" s="9">
        <v>83.0</v>
      </c>
      <c r="I8" s="9">
        <v>90.0</v>
      </c>
      <c r="J8" s="9">
        <v>80.0</v>
      </c>
      <c r="K8" s="9">
        <f t="shared" si="2"/>
        <v>84.33333333</v>
      </c>
      <c r="L8" s="8">
        <v>89.0</v>
      </c>
      <c r="M8" s="8">
        <v>98.0</v>
      </c>
      <c r="N8" s="8">
        <v>86.0</v>
      </c>
      <c r="O8" s="8">
        <f t="shared" si="3"/>
        <v>91</v>
      </c>
    </row>
    <row r="9">
      <c r="A9" s="6">
        <v>4.0</v>
      </c>
      <c r="B9" s="7" t="s">
        <v>21</v>
      </c>
      <c r="C9" s="7"/>
      <c r="D9" s="8">
        <v>95.0</v>
      </c>
      <c r="E9" s="8">
        <v>95.0</v>
      </c>
      <c r="F9" s="8">
        <v>81.0</v>
      </c>
      <c r="G9" s="8">
        <f t="shared" si="1"/>
        <v>90.33333333</v>
      </c>
      <c r="H9" s="9">
        <v>97.0</v>
      </c>
      <c r="I9" s="9">
        <v>95.0</v>
      </c>
      <c r="J9" s="9">
        <v>94.0</v>
      </c>
      <c r="K9" s="9">
        <f t="shared" si="2"/>
        <v>95.33333333</v>
      </c>
      <c r="L9" s="8">
        <v>83.0</v>
      </c>
      <c r="M9" s="8">
        <v>94.0</v>
      </c>
      <c r="N9" s="8">
        <v>93.0</v>
      </c>
      <c r="O9" s="8">
        <f t="shared" si="3"/>
        <v>90</v>
      </c>
    </row>
    <row r="10">
      <c r="A10" s="6">
        <v>5.0</v>
      </c>
      <c r="B10" s="7" t="s">
        <v>22</v>
      </c>
      <c r="C10" s="7"/>
      <c r="D10" s="8">
        <v>79.0</v>
      </c>
      <c r="E10" s="8">
        <v>90.0</v>
      </c>
      <c r="F10" s="8">
        <v>98.0</v>
      </c>
      <c r="G10" s="8">
        <f t="shared" si="1"/>
        <v>89</v>
      </c>
      <c r="H10" s="9">
        <v>90.0</v>
      </c>
      <c r="I10" s="9">
        <v>90.0</v>
      </c>
      <c r="J10" s="9">
        <v>96.0</v>
      </c>
      <c r="K10" s="9">
        <f t="shared" si="2"/>
        <v>92</v>
      </c>
      <c r="L10" s="8">
        <v>90.0</v>
      </c>
      <c r="M10" s="8">
        <v>90.0</v>
      </c>
      <c r="N10" s="8">
        <v>91.0</v>
      </c>
      <c r="O10" s="8">
        <f t="shared" si="3"/>
        <v>90.33333333</v>
      </c>
    </row>
    <row r="11">
      <c r="A11" s="6">
        <v>6.0</v>
      </c>
      <c r="B11" s="7" t="s">
        <v>23</v>
      </c>
      <c r="C11" s="7"/>
      <c r="D11" s="8">
        <v>68.0</v>
      </c>
      <c r="E11" s="8">
        <v>70.0</v>
      </c>
      <c r="F11" s="8">
        <v>98.0</v>
      </c>
      <c r="G11" s="8">
        <f t="shared" si="1"/>
        <v>78.66666667</v>
      </c>
      <c r="H11" s="9">
        <v>92.0</v>
      </c>
      <c r="I11" s="9">
        <v>89.0</v>
      </c>
      <c r="J11" s="9">
        <v>96.0</v>
      </c>
      <c r="K11" s="9">
        <f t="shared" si="2"/>
        <v>92.33333333</v>
      </c>
      <c r="L11" s="8">
        <v>81.0</v>
      </c>
      <c r="M11" s="8">
        <v>86.0</v>
      </c>
      <c r="N11" s="8">
        <v>91.0</v>
      </c>
      <c r="O11" s="8">
        <f t="shared" si="3"/>
        <v>86</v>
      </c>
    </row>
    <row r="12">
      <c r="A12" s="6">
        <v>7.0</v>
      </c>
      <c r="B12" s="7" t="s">
        <v>24</v>
      </c>
      <c r="C12" s="7"/>
      <c r="D12" s="8">
        <v>89.0</v>
      </c>
      <c r="E12" s="8">
        <v>95.0</v>
      </c>
      <c r="F12" s="8">
        <v>79.0</v>
      </c>
      <c r="G12" s="8">
        <f t="shared" si="1"/>
        <v>87.66666667</v>
      </c>
      <c r="H12" s="9">
        <v>92.0</v>
      </c>
      <c r="I12" s="9">
        <v>95.0</v>
      </c>
      <c r="J12" s="9">
        <v>93.0</v>
      </c>
      <c r="K12" s="9">
        <f t="shared" si="2"/>
        <v>93.33333333</v>
      </c>
      <c r="L12" s="8">
        <v>89.0</v>
      </c>
      <c r="M12" s="8">
        <v>88.0</v>
      </c>
      <c r="N12" s="8">
        <v>85.0</v>
      </c>
      <c r="O12" s="8">
        <f t="shared" si="3"/>
        <v>87.33333333</v>
      </c>
    </row>
    <row r="13">
      <c r="A13" s="6">
        <v>8.0</v>
      </c>
      <c r="B13" s="7" t="s">
        <v>25</v>
      </c>
      <c r="C13" s="7"/>
      <c r="D13" s="8">
        <v>46.0</v>
      </c>
      <c r="E13" s="8">
        <v>45.0</v>
      </c>
      <c r="F13" s="8">
        <v>71.0</v>
      </c>
      <c r="G13" s="8">
        <f t="shared" si="1"/>
        <v>54</v>
      </c>
      <c r="H13" s="9">
        <v>81.0</v>
      </c>
      <c r="I13" s="9">
        <v>90.0</v>
      </c>
      <c r="J13" s="9">
        <v>93.0</v>
      </c>
      <c r="K13" s="9">
        <f t="shared" si="2"/>
        <v>88</v>
      </c>
      <c r="L13" s="8">
        <v>80.0</v>
      </c>
      <c r="M13" s="8">
        <v>74.0</v>
      </c>
      <c r="N13" s="8">
        <v>91.0</v>
      </c>
      <c r="O13" s="8">
        <f t="shared" si="3"/>
        <v>81.66666667</v>
      </c>
    </row>
    <row r="14">
      <c r="A14" s="6">
        <v>9.0</v>
      </c>
      <c r="B14" s="7" t="s">
        <v>26</v>
      </c>
      <c r="C14" s="7"/>
      <c r="D14" s="8">
        <v>80.0</v>
      </c>
      <c r="E14" s="8">
        <v>85.0</v>
      </c>
      <c r="F14" s="8">
        <v>71.0</v>
      </c>
      <c r="G14" s="8">
        <f t="shared" si="1"/>
        <v>78.66666667</v>
      </c>
      <c r="H14" s="9">
        <v>77.0</v>
      </c>
      <c r="I14" s="9">
        <v>80.0</v>
      </c>
      <c r="J14" s="9">
        <v>80.0</v>
      </c>
      <c r="K14" s="9">
        <f t="shared" si="2"/>
        <v>79</v>
      </c>
      <c r="L14" s="8">
        <v>75.0</v>
      </c>
      <c r="M14" s="8">
        <v>88.0</v>
      </c>
      <c r="N14" s="8">
        <v>84.0</v>
      </c>
      <c r="O14" s="8">
        <f t="shared" si="3"/>
        <v>82.33333333</v>
      </c>
    </row>
    <row r="15">
      <c r="A15" s="6">
        <v>10.0</v>
      </c>
      <c r="B15" s="7" t="s">
        <v>27</v>
      </c>
      <c r="C15" s="7"/>
      <c r="D15" s="8">
        <v>71.0</v>
      </c>
      <c r="E15" s="8">
        <v>89.0</v>
      </c>
      <c r="F15" s="8">
        <v>76.0</v>
      </c>
      <c r="G15" s="8">
        <f t="shared" si="1"/>
        <v>78.66666667</v>
      </c>
      <c r="H15" s="9">
        <v>70.0</v>
      </c>
      <c r="I15" s="9">
        <v>95.0</v>
      </c>
      <c r="J15" s="9">
        <v>86.0</v>
      </c>
      <c r="K15" s="9">
        <f t="shared" si="2"/>
        <v>83.66666667</v>
      </c>
      <c r="L15" s="8">
        <v>87.0</v>
      </c>
      <c r="M15" s="8">
        <v>82.0</v>
      </c>
      <c r="N15" s="8">
        <v>78.0</v>
      </c>
      <c r="O15" s="8">
        <f t="shared" si="3"/>
        <v>82.33333333</v>
      </c>
    </row>
    <row r="16">
      <c r="A16" s="6">
        <v>11.0</v>
      </c>
      <c r="B16" s="7" t="s">
        <v>28</v>
      </c>
      <c r="C16" s="7" t="s">
        <v>29</v>
      </c>
      <c r="D16" s="8">
        <v>59.0</v>
      </c>
      <c r="E16" s="8">
        <v>95.0</v>
      </c>
      <c r="F16" s="8">
        <v>83.0</v>
      </c>
      <c r="G16" s="8">
        <f t="shared" si="1"/>
        <v>79</v>
      </c>
      <c r="H16" s="9">
        <v>68.0</v>
      </c>
      <c r="I16" s="9">
        <v>95.0</v>
      </c>
      <c r="J16" s="9">
        <v>84.0</v>
      </c>
      <c r="K16" s="9">
        <f t="shared" si="2"/>
        <v>82.33333333</v>
      </c>
      <c r="L16" s="8">
        <v>69.0</v>
      </c>
      <c r="M16" s="8">
        <v>85.0</v>
      </c>
      <c r="N16" s="8">
        <v>89.0</v>
      </c>
      <c r="O16" s="8">
        <f t="shared" si="3"/>
        <v>81</v>
      </c>
    </row>
    <row r="17">
      <c r="A17" s="6">
        <v>12.0</v>
      </c>
      <c r="B17" s="7" t="s">
        <v>30</v>
      </c>
      <c r="C17" s="7"/>
      <c r="D17" s="8">
        <v>49.0</v>
      </c>
      <c r="E17" s="8">
        <v>55.0</v>
      </c>
      <c r="F17" s="8">
        <v>84.0</v>
      </c>
      <c r="G17" s="8">
        <f t="shared" si="1"/>
        <v>62.66666667</v>
      </c>
      <c r="H17" s="9">
        <v>82.0</v>
      </c>
      <c r="I17" s="9">
        <v>75.0</v>
      </c>
      <c r="J17" s="9">
        <v>93.0</v>
      </c>
      <c r="K17" s="9">
        <f t="shared" si="2"/>
        <v>83.33333333</v>
      </c>
      <c r="L17" s="8">
        <v>80.0</v>
      </c>
      <c r="M17" s="8">
        <v>81.0</v>
      </c>
      <c r="N17" s="8">
        <v>79.0</v>
      </c>
      <c r="O17" s="8">
        <f t="shared" si="3"/>
        <v>80</v>
      </c>
    </row>
    <row r="18">
      <c r="A18" s="6">
        <v>13.0</v>
      </c>
      <c r="B18" s="7" t="s">
        <v>31</v>
      </c>
      <c r="C18" s="7"/>
      <c r="D18" s="8">
        <v>78.0</v>
      </c>
      <c r="E18" s="8">
        <v>85.0</v>
      </c>
      <c r="F18" s="8">
        <v>83.0</v>
      </c>
      <c r="G18" s="8">
        <f t="shared" si="1"/>
        <v>82</v>
      </c>
      <c r="H18" s="9">
        <v>94.0</v>
      </c>
      <c r="I18" s="9">
        <v>90.0</v>
      </c>
      <c r="J18" s="9">
        <v>84.0</v>
      </c>
      <c r="K18" s="9">
        <f t="shared" si="2"/>
        <v>89.33333333</v>
      </c>
      <c r="L18" s="8">
        <v>74.0</v>
      </c>
      <c r="M18" s="8">
        <v>90.0</v>
      </c>
      <c r="N18" s="8">
        <v>73.0</v>
      </c>
      <c r="O18" s="8">
        <f t="shared" si="3"/>
        <v>79</v>
      </c>
    </row>
    <row r="19">
      <c r="A19" s="6">
        <v>14.0</v>
      </c>
      <c r="B19" s="7" t="s">
        <v>32</v>
      </c>
      <c r="C19" s="7"/>
      <c r="D19" s="8">
        <v>69.0</v>
      </c>
      <c r="E19" s="8">
        <v>70.0</v>
      </c>
      <c r="F19" s="8">
        <v>78.0</v>
      </c>
      <c r="G19" s="8">
        <f t="shared" si="1"/>
        <v>72.33333333</v>
      </c>
      <c r="H19" s="9">
        <v>84.0</v>
      </c>
      <c r="I19" s="9">
        <v>73.0</v>
      </c>
      <c r="J19" s="9">
        <v>84.0</v>
      </c>
      <c r="K19" s="9">
        <f t="shared" si="2"/>
        <v>80.33333333</v>
      </c>
      <c r="L19" s="8">
        <v>73.0</v>
      </c>
      <c r="M19" s="8">
        <v>76.0</v>
      </c>
      <c r="N19" s="8">
        <v>89.0</v>
      </c>
      <c r="O19" s="8">
        <f t="shared" si="3"/>
        <v>79.33333333</v>
      </c>
    </row>
    <row r="20">
      <c r="A20" s="6">
        <v>15.0</v>
      </c>
      <c r="B20" s="7" t="s">
        <v>33</v>
      </c>
      <c r="C20" s="7"/>
      <c r="D20" s="8">
        <v>68.0</v>
      </c>
      <c r="E20" s="8">
        <v>35.0</v>
      </c>
      <c r="F20" s="8">
        <v>70.0</v>
      </c>
      <c r="G20" s="8">
        <f t="shared" si="1"/>
        <v>57.66666667</v>
      </c>
      <c r="H20" s="9">
        <v>59.0</v>
      </c>
      <c r="I20" s="9">
        <v>60.0</v>
      </c>
      <c r="J20" s="9">
        <v>82.0</v>
      </c>
      <c r="K20" s="9">
        <f t="shared" si="2"/>
        <v>67</v>
      </c>
      <c r="L20" s="8">
        <v>90.0</v>
      </c>
      <c r="M20" s="8">
        <v>51.0</v>
      </c>
      <c r="N20" s="8">
        <v>92.0</v>
      </c>
      <c r="O20" s="8">
        <f t="shared" si="3"/>
        <v>77.66666667</v>
      </c>
    </row>
    <row r="21" ht="15.75" customHeight="1">
      <c r="A21" s="6">
        <v>16.0</v>
      </c>
      <c r="B21" s="7" t="s">
        <v>34</v>
      </c>
      <c r="C21" s="7"/>
      <c r="D21" s="8">
        <v>90.0</v>
      </c>
      <c r="E21" s="8">
        <v>75.0</v>
      </c>
      <c r="F21" s="8">
        <v>96.0</v>
      </c>
      <c r="G21" s="8">
        <f t="shared" si="1"/>
        <v>87</v>
      </c>
      <c r="H21" s="9">
        <v>89.0</v>
      </c>
      <c r="I21" s="9">
        <v>84.0</v>
      </c>
      <c r="J21" s="9">
        <v>94.0</v>
      </c>
      <c r="K21" s="9">
        <f t="shared" si="2"/>
        <v>89</v>
      </c>
      <c r="L21" s="8">
        <v>88.0</v>
      </c>
      <c r="M21" s="8">
        <v>65.0</v>
      </c>
      <c r="N21" s="8">
        <v>81.0</v>
      </c>
      <c r="O21" s="8">
        <f t="shared" si="3"/>
        <v>78</v>
      </c>
    </row>
    <row r="22" ht="15.75" customHeight="1">
      <c r="A22" s="6">
        <v>17.0</v>
      </c>
      <c r="B22" s="7" t="s">
        <v>35</v>
      </c>
      <c r="C22" s="7"/>
      <c r="D22" s="8">
        <v>56.0</v>
      </c>
      <c r="E22" s="8">
        <v>35.0</v>
      </c>
      <c r="F22" s="8">
        <v>80.0</v>
      </c>
      <c r="G22" s="8">
        <f t="shared" si="1"/>
        <v>57</v>
      </c>
      <c r="H22" s="9">
        <v>71.0</v>
      </c>
      <c r="I22" s="9">
        <v>58.0</v>
      </c>
      <c r="J22" s="9">
        <v>85.0</v>
      </c>
      <c r="K22" s="9">
        <f t="shared" si="2"/>
        <v>71.33333333</v>
      </c>
      <c r="L22" s="8">
        <v>77.0</v>
      </c>
      <c r="M22" s="8">
        <v>74.0</v>
      </c>
      <c r="N22" s="8">
        <v>74.0</v>
      </c>
      <c r="O22" s="8">
        <f t="shared" si="3"/>
        <v>75</v>
      </c>
    </row>
    <row r="23" ht="15.75" customHeight="1">
      <c r="A23" s="6">
        <v>18.0</v>
      </c>
      <c r="B23" s="7" t="s">
        <v>36</v>
      </c>
      <c r="C23" s="7"/>
      <c r="D23" s="8">
        <v>74.0</v>
      </c>
      <c r="E23" s="8">
        <v>90.0</v>
      </c>
      <c r="F23" s="8">
        <v>73.0</v>
      </c>
      <c r="G23" s="8">
        <f t="shared" si="1"/>
        <v>79</v>
      </c>
      <c r="H23" s="9">
        <v>63.0</v>
      </c>
      <c r="I23" s="9">
        <v>90.0</v>
      </c>
      <c r="J23" s="9">
        <v>71.0</v>
      </c>
      <c r="K23" s="9">
        <f t="shared" si="2"/>
        <v>74.66666667</v>
      </c>
      <c r="L23" s="8">
        <v>72.0</v>
      </c>
      <c r="M23" s="8">
        <v>78.0</v>
      </c>
      <c r="N23" s="8">
        <v>71.0</v>
      </c>
      <c r="O23" s="8">
        <f t="shared" si="3"/>
        <v>73.66666667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O1"/>
    <mergeCell ref="A2:O2"/>
    <mergeCell ref="A4:C4"/>
    <mergeCell ref="D4:G4"/>
    <mergeCell ref="H4:K4"/>
    <mergeCell ref="L4:O4"/>
  </mergeCells>
  <conditionalFormatting sqref="D6:F23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H6:J23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L6:N23">
    <cfRule type="colorScale" priority="3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